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Data" sheetId="1" r:id="rId1"/>
    <sheet name="Sheet1" sheetId="2" r:id="rId2"/>
  </sheets>
  <definedNames>
    <definedName name="Slicer_Result">#N/A</definedName>
    <definedName name="Slicer_Attendance">#N/A</definedName>
    <definedName name="Slicer_Marks">#N/A</definedName>
    <definedName name="Slicer_Subject">#N/A</definedName>
    <definedName name="Slicer_Name">#N/A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6"/>
        <x14:slicerCache r:id="rId5"/>
        <x14:slicerCache r:id="rId4"/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<sst xmlns="http://schemas.openxmlformats.org/spreadsheetml/2006/main" count="112" uniqueCount="34">
  <si>
    <t>Name</t>
  </si>
  <si>
    <t>Subject</t>
  </si>
  <si>
    <t>Marks</t>
  </si>
  <si>
    <t>Attendance</t>
  </si>
  <si>
    <t>Result</t>
  </si>
  <si>
    <t>Pass</t>
  </si>
  <si>
    <t>Fail</t>
  </si>
  <si>
    <t>Riya</t>
  </si>
  <si>
    <t>Computer</t>
  </si>
  <si>
    <t>Dev</t>
  </si>
  <si>
    <t>Science</t>
  </si>
  <si>
    <t>Rahul</t>
  </si>
  <si>
    <t>Physics</t>
  </si>
  <si>
    <t>Amit</t>
  </si>
  <si>
    <t>Maths</t>
  </si>
  <si>
    <t>Arjun</t>
  </si>
  <si>
    <t>Rohit</t>
  </si>
  <si>
    <t>Jay</t>
  </si>
  <si>
    <t>Meena</t>
  </si>
  <si>
    <t>Pooja</t>
  </si>
  <si>
    <t>Sneha</t>
  </si>
  <si>
    <t>Neha</t>
  </si>
  <si>
    <t>Priya</t>
  </si>
  <si>
    <t>English</t>
  </si>
  <si>
    <t>Vikram</t>
  </si>
  <si>
    <t>Anjali</t>
  </si>
  <si>
    <t>Sahil</t>
  </si>
  <si>
    <t>Kavya</t>
  </si>
  <si>
    <t>Karan</t>
  </si>
  <si>
    <t>Total</t>
  </si>
  <si>
    <r>
      <rPr>
        <b/>
        <sz val="20"/>
        <color theme="0"/>
        <rFont val="Calibri"/>
        <charset val="134"/>
      </rPr>
      <t xml:space="preserve">                                                                                                                                                           </t>
    </r>
    <r>
      <rPr>
        <b/>
        <sz val="22"/>
        <color theme="0"/>
        <rFont val="Calibri"/>
        <charset val="134"/>
      </rPr>
      <t xml:space="preserve"> Student Performance Dashboard</t>
    </r>
  </si>
  <si>
    <t xml:space="preserve">    Total Student</t>
  </si>
  <si>
    <t xml:space="preserve">    Average Marks</t>
  </si>
  <si>
    <t xml:space="preserve">    Avg Attendance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</si>
</sst>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rgb="FF000000"/>
      <name val="Calibri"/>
      <charset val="134"/>
    </font>
    <font>
      <b/>
      <sz val="20"/>
      <color theme="0"/>
      <name val="Calibri"/>
      <charset val="134"/>
    </font>
    <font>
      <b/>
      <sz val="16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2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2" fillId="3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  <vertical style="thin">
          <color theme="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Preset7_Accent1" pivot="0" count="7" xr9:uid="{231989B4-D35C-4C40-A848-29698E0BA3CE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5.xml"/><Relationship Id="rId6" Type="http://schemas.microsoft.com/office/2007/relationships/slicerCache" Target="slicerCaches/slicerCache4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Relationship Id="rId3" Type="http://schemas.microsoft.com/office/2007/relationships/slicerCache" Target="slicerCaches/slicerCache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Pass Vs Fail percentage chart</a:t>
            </a:r>
          </a:p>
        </c:rich>
      </c:tx>
      <c:layout>
        <c:manualLayout>
          <c:xMode val="edge"/>
          <c:yMode val="edge"/>
          <c:x val="0.301691204516037"/>
          <c:y val="0.041111474646050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Data!$G$1:$H$1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Data!$G$2:$H$2</c:f>
              <c:numCache>
                <c:formatCode>General</c:formatCode>
                <c:ptCount val="2"/>
                <c:pt idx="0">
                  <c:v>28</c:v>
                </c:pt>
                <c:pt idx="1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bafb2b-8d02-44f6-bb69-bfa494f0ee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934659578117"/>
          <c:y val="0.188592233009709"/>
          <c:w val="0.882678785800034"/>
          <c:h val="0.5865048543689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Data!$C$2:$C$100</c:f>
              <c:numCache>
                <c:formatCode>General</c:formatCode>
                <c:ptCount val="99"/>
                <c:pt idx="0">
                  <c:v>51</c:v>
                </c:pt>
                <c:pt idx="1">
                  <c:v>49</c:v>
                </c:pt>
                <c:pt idx="2">
                  <c:v>93</c:v>
                </c:pt>
                <c:pt idx="3">
                  <c:v>48</c:v>
                </c:pt>
                <c:pt idx="4">
                  <c:v>63</c:v>
                </c:pt>
                <c:pt idx="5">
                  <c:v>80</c:v>
                </c:pt>
                <c:pt idx="6">
                  <c:v>55</c:v>
                </c:pt>
                <c:pt idx="7">
                  <c:v>84</c:v>
                </c:pt>
                <c:pt idx="8">
                  <c:v>47</c:v>
                </c:pt>
                <c:pt idx="9">
                  <c:v>44</c:v>
                </c:pt>
                <c:pt idx="10">
                  <c:v>45</c:v>
                </c:pt>
                <c:pt idx="11">
                  <c:v>66</c:v>
                </c:pt>
                <c:pt idx="12">
                  <c:v>68</c:v>
                </c:pt>
                <c:pt idx="13">
                  <c:v>89</c:v>
                </c:pt>
                <c:pt idx="14">
                  <c:v>45</c:v>
                </c:pt>
                <c:pt idx="15">
                  <c:v>46</c:v>
                </c:pt>
                <c:pt idx="16">
                  <c:v>91</c:v>
                </c:pt>
                <c:pt idx="17">
                  <c:v>56</c:v>
                </c:pt>
                <c:pt idx="18">
                  <c:v>77</c:v>
                </c:pt>
                <c:pt idx="19">
                  <c:v>49</c:v>
                </c:pt>
                <c:pt idx="20">
                  <c:v>68</c:v>
                </c:pt>
                <c:pt idx="21">
                  <c:v>61</c:v>
                </c:pt>
                <c:pt idx="22">
                  <c:v>47</c:v>
                </c:pt>
                <c:pt idx="23">
                  <c:v>61</c:v>
                </c:pt>
                <c:pt idx="24">
                  <c:v>45</c:v>
                </c:pt>
                <c:pt idx="25">
                  <c:v>53</c:v>
                </c:pt>
                <c:pt idx="26">
                  <c:v>75</c:v>
                </c:pt>
                <c:pt idx="27">
                  <c:v>100</c:v>
                </c:pt>
                <c:pt idx="28">
                  <c:v>88</c:v>
                </c:pt>
                <c:pt idx="29">
                  <c:v>58</c:v>
                </c:pt>
                <c:pt idx="30">
                  <c:v>44</c:v>
                </c:pt>
                <c:pt idx="31">
                  <c:v>100</c:v>
                </c:pt>
                <c:pt idx="32">
                  <c:v>70</c:v>
                </c:pt>
                <c:pt idx="33">
                  <c:v>97</c:v>
                </c:pt>
                <c:pt idx="34">
                  <c:v>55</c:v>
                </c:pt>
                <c:pt idx="35">
                  <c:v>83</c:v>
                </c:pt>
                <c:pt idx="36">
                  <c:v>56</c:v>
                </c:pt>
                <c:pt idx="37">
                  <c:v>71</c:v>
                </c:pt>
                <c:pt idx="38">
                  <c:v>79</c:v>
                </c:pt>
                <c:pt idx="39">
                  <c:v>44</c:v>
                </c:pt>
                <c:pt idx="40">
                  <c:v>71</c:v>
                </c:pt>
                <c:pt idx="41">
                  <c:v>54</c:v>
                </c:pt>
                <c:pt idx="42">
                  <c:v>67</c:v>
                </c:pt>
                <c:pt idx="43">
                  <c:v>40</c:v>
                </c:pt>
                <c:pt idx="44">
                  <c:v>66</c:v>
                </c:pt>
                <c:pt idx="45">
                  <c:v>93</c:v>
                </c:pt>
                <c:pt idx="46">
                  <c:v>61</c:v>
                </c:pt>
                <c:pt idx="47">
                  <c:v>81</c:v>
                </c:pt>
                <c:pt idx="48">
                  <c:v>84</c:v>
                </c:pt>
                <c:pt idx="49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52433891"/>
        <c:axId val="441815194"/>
      </c:barChart>
      <c:catAx>
        <c:axId val="4524338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815194"/>
        <c:crosses val="autoZero"/>
        <c:auto val="1"/>
        <c:lblAlgn val="ctr"/>
        <c:lblOffset val="100"/>
        <c:noMultiLvlLbl val="0"/>
      </c:catAx>
      <c:valAx>
        <c:axId val="4418151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4338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cd9cdf-3433-4dd8-829c-9df0def1f7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Attendance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Data!$D$2:$D$51</c:f>
              <c:numCache>
                <c:formatCode>General</c:formatCode>
                <c:ptCount val="50"/>
                <c:pt idx="0">
                  <c:v>95</c:v>
                </c:pt>
                <c:pt idx="1">
                  <c:v>86</c:v>
                </c:pt>
                <c:pt idx="2">
                  <c:v>94</c:v>
                </c:pt>
                <c:pt idx="3">
                  <c:v>61</c:v>
                </c:pt>
                <c:pt idx="4">
                  <c:v>66</c:v>
                </c:pt>
                <c:pt idx="5">
                  <c:v>94</c:v>
                </c:pt>
                <c:pt idx="6">
                  <c:v>61</c:v>
                </c:pt>
                <c:pt idx="7">
                  <c:v>76</c:v>
                </c:pt>
                <c:pt idx="8">
                  <c:v>77</c:v>
                </c:pt>
                <c:pt idx="9">
                  <c:v>82</c:v>
                </c:pt>
                <c:pt idx="10">
                  <c:v>99</c:v>
                </c:pt>
                <c:pt idx="11">
                  <c:v>98</c:v>
                </c:pt>
                <c:pt idx="12">
                  <c:v>65</c:v>
                </c:pt>
                <c:pt idx="13">
                  <c:v>74</c:v>
                </c:pt>
                <c:pt idx="14">
                  <c:v>98</c:v>
                </c:pt>
                <c:pt idx="15">
                  <c:v>86</c:v>
                </c:pt>
                <c:pt idx="16">
                  <c:v>99</c:v>
                </c:pt>
                <c:pt idx="17">
                  <c:v>64</c:v>
                </c:pt>
                <c:pt idx="18">
                  <c:v>80</c:v>
                </c:pt>
                <c:pt idx="19">
                  <c:v>69</c:v>
                </c:pt>
                <c:pt idx="20">
                  <c:v>86</c:v>
                </c:pt>
                <c:pt idx="21">
                  <c:v>73</c:v>
                </c:pt>
                <c:pt idx="22">
                  <c:v>81</c:v>
                </c:pt>
                <c:pt idx="23">
                  <c:v>69</c:v>
                </c:pt>
                <c:pt idx="24">
                  <c:v>87</c:v>
                </c:pt>
                <c:pt idx="25">
                  <c:v>60</c:v>
                </c:pt>
                <c:pt idx="26">
                  <c:v>62</c:v>
                </c:pt>
                <c:pt idx="27">
                  <c:v>93</c:v>
                </c:pt>
                <c:pt idx="28">
                  <c:v>83</c:v>
                </c:pt>
                <c:pt idx="29">
                  <c:v>70</c:v>
                </c:pt>
                <c:pt idx="30">
                  <c:v>67</c:v>
                </c:pt>
                <c:pt idx="31">
                  <c:v>87</c:v>
                </c:pt>
                <c:pt idx="32">
                  <c:v>71</c:v>
                </c:pt>
                <c:pt idx="33">
                  <c:v>95</c:v>
                </c:pt>
                <c:pt idx="34">
                  <c:v>94</c:v>
                </c:pt>
                <c:pt idx="35">
                  <c:v>60</c:v>
                </c:pt>
                <c:pt idx="36">
                  <c:v>67</c:v>
                </c:pt>
                <c:pt idx="37">
                  <c:v>85</c:v>
                </c:pt>
                <c:pt idx="38">
                  <c:v>66</c:v>
                </c:pt>
                <c:pt idx="39">
                  <c:v>100</c:v>
                </c:pt>
                <c:pt idx="40">
                  <c:v>71</c:v>
                </c:pt>
                <c:pt idx="41">
                  <c:v>83</c:v>
                </c:pt>
                <c:pt idx="42">
                  <c:v>72</c:v>
                </c:pt>
                <c:pt idx="43">
                  <c:v>65</c:v>
                </c:pt>
                <c:pt idx="44">
                  <c:v>85</c:v>
                </c:pt>
                <c:pt idx="45">
                  <c:v>81</c:v>
                </c:pt>
                <c:pt idx="46">
                  <c:v>82</c:v>
                </c:pt>
                <c:pt idx="47">
                  <c:v>98</c:v>
                </c:pt>
                <c:pt idx="48">
                  <c:v>88</c:v>
                </c:pt>
                <c:pt idx="49">
                  <c:v>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7613954"/>
        <c:axId val="646675400"/>
      </c:lineChart>
      <c:catAx>
        <c:axId val="8776139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675400"/>
        <c:crosses val="autoZero"/>
        <c:auto val="1"/>
        <c:lblAlgn val="ctr"/>
        <c:lblOffset val="100"/>
        <c:noMultiLvlLbl val="0"/>
      </c:catAx>
      <c:valAx>
        <c:axId val="64667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76139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b6816c-08e4-4ced-bf6d-9265b8cd1c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292100</xdr:colOff>
      <xdr:row>1</xdr:row>
      <xdr:rowOff>240030</xdr:rowOff>
    </xdr:from>
    <xdr:to>
      <xdr:col>16</xdr:col>
      <xdr:colOff>404495</xdr:colOff>
      <xdr:row>20</xdr:row>
      <xdr:rowOff>153035</xdr:rowOff>
    </xdr:to>
    <xdr:graphicFrame>
      <xdr:nvGraphicFramePr>
        <xdr:cNvPr id="5" name="Chart 4"/>
        <xdr:cNvGraphicFramePr/>
      </xdr:nvGraphicFramePr>
      <xdr:xfrm>
        <a:off x="5757545" y="605790"/>
        <a:ext cx="5598795" cy="3639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591820</xdr:colOff>
      <xdr:row>1</xdr:row>
      <xdr:rowOff>222250</xdr:rowOff>
    </xdr:from>
    <xdr:to>
      <xdr:col>31</xdr:col>
      <xdr:colOff>480060</xdr:colOff>
      <xdr:row>20</xdr:row>
      <xdr:rowOff>132080</xdr:rowOff>
    </xdr:to>
    <xdr:graphicFrame>
      <xdr:nvGraphicFramePr>
        <xdr:cNvPr id="7" name="Chart 6"/>
        <xdr:cNvGraphicFramePr/>
      </xdr:nvGraphicFramePr>
      <xdr:xfrm>
        <a:off x="11543665" y="588010"/>
        <a:ext cx="9032240" cy="3636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3</xdr:col>
      <xdr:colOff>12700</xdr:colOff>
      <xdr:row>30</xdr:row>
      <xdr:rowOff>125095</xdr:rowOff>
    </xdr:from>
    <xdr:to>
      <xdr:col>6</xdr:col>
      <xdr:colOff>440690</xdr:colOff>
      <xdr:row>37</xdr:row>
      <xdr:rowOff>124460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8" name="Resul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ul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9745" y="6045835"/>
              <a:ext cx="2256790" cy="1279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595630</xdr:colOff>
      <xdr:row>1</xdr:row>
      <xdr:rowOff>216535</xdr:rowOff>
    </xdr:from>
    <xdr:to>
      <xdr:col>6</xdr:col>
      <xdr:colOff>388620</xdr:colOff>
      <xdr:row>15</xdr:row>
      <xdr:rowOff>15875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9" name="Attendan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enda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3075" y="582295"/>
              <a:ext cx="2231390" cy="261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319405</xdr:colOff>
      <xdr:row>22</xdr:row>
      <xdr:rowOff>95250</xdr:rowOff>
    </xdr:from>
    <xdr:to>
      <xdr:col>2</xdr:col>
      <xdr:colOff>106045</xdr:colOff>
      <xdr:row>38</xdr:row>
      <xdr:rowOff>70485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0" name="Mark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k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405" y="4552950"/>
              <a:ext cx="2204085" cy="2901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602615</xdr:colOff>
      <xdr:row>16</xdr:row>
      <xdr:rowOff>48895</xdr:rowOff>
    </xdr:from>
    <xdr:to>
      <xdr:col>6</xdr:col>
      <xdr:colOff>402590</xdr:colOff>
      <xdr:row>29</xdr:row>
      <xdr:rowOff>116840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1" name="Subje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je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0060" y="3409315"/>
              <a:ext cx="2238375" cy="2445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280035</xdr:colOff>
      <xdr:row>5</xdr:row>
      <xdr:rowOff>51435</xdr:rowOff>
    </xdr:from>
    <xdr:to>
      <xdr:col>2</xdr:col>
      <xdr:colOff>20955</xdr:colOff>
      <xdr:row>21</xdr:row>
      <xdr:rowOff>13970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2" name="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0035" y="1400175"/>
              <a:ext cx="2158365" cy="2888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310515</xdr:colOff>
      <xdr:row>21</xdr:row>
      <xdr:rowOff>161290</xdr:rowOff>
    </xdr:from>
    <xdr:to>
      <xdr:col>31</xdr:col>
      <xdr:colOff>464820</xdr:colOff>
      <xdr:row>40</xdr:row>
      <xdr:rowOff>42545</xdr:rowOff>
    </xdr:to>
    <xdr:graphicFrame>
      <xdr:nvGraphicFramePr>
        <xdr:cNvPr id="13" name="Chart 12"/>
        <xdr:cNvGraphicFramePr/>
      </xdr:nvGraphicFramePr>
      <xdr:xfrm>
        <a:off x="5775960" y="4436110"/>
        <a:ext cx="14784705" cy="3355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1</xdr:row>
      <xdr:rowOff>30480</xdr:rowOff>
    </xdr:from>
    <xdr:to>
      <xdr:col>2</xdr:col>
      <xdr:colOff>215265</xdr:colOff>
      <xdr:row>4</xdr:row>
      <xdr:rowOff>88265</xdr:rowOff>
    </xdr:to>
    <xdr:sp>
      <xdr:nvSpPr>
        <xdr:cNvPr id="14" name="Rectangle 13"/>
        <xdr:cNvSpPr/>
      </xdr:nvSpPr>
      <xdr:spPr>
        <a:xfrm>
          <a:off x="180975" y="396240"/>
          <a:ext cx="2451735" cy="857885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sult" sourceName="Result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ttendance" sourceName="Attendance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ks" sourceName="Marks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ject" sourceName="Subject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Name" sourceName="Name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sult" cache="Slicer_Result" caption="Result" rowHeight="225425"/>
  <slicer name="Attendance" cache="Slicer_Attendance" caption="Attendance" rowHeight="225425"/>
  <slicer name="Marks" cache="Slicer_Marks" caption="Marks" startItem="3" rowHeight="225425"/>
  <slicer name="Subject" cache="Slicer_Subject" caption="Subject" rowHeight="225425"/>
  <slicer name="Name" cache="Slicer_Name" caption="Name" rowHeight="225425"/>
</slicers>
</file>

<file path=xl/tables/table1.xml><?xml version="1.0" encoding="utf-8"?>
<table xmlns="http://schemas.openxmlformats.org/spreadsheetml/2006/main" id="1" name="Table1" displayName="Table1" ref="A1:E52" totalsRowCount="1">
  <autoFilter xmlns:etc="http://www.wps.cn/officeDocument/2017/etCustomData" ref="A1:E51" etc:filterBottomFollowUsedRange="0"/>
  <tableColumns count="5">
    <tableColumn id="1" name="Name" dataDxfId="0" totalsRowLabel="Total"/>
    <tableColumn id="2" name="Subject" dataDxfId="1"/>
    <tableColumn id="3" name="Marks" dataDxfId="2"/>
    <tableColumn id="4" name="Attendance" dataDxfId="3"/>
    <tableColumn id="5" name="Result" dataDxfId="4" totalsRowFunction="count">
      <calculatedColumnFormula>IF(C2&gt;=60,"Pass","Fail")</calculatedColumnFormula>
    </tableColumn>
  </tableColumns>
  <tableStyleInfo name="TableStylePreset7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1:H2" totalsRowShown="0">
  <autoFilter xmlns:etc="http://www.wps.cn/officeDocument/2017/etCustomData" ref="G1:H2" etc:filterBottomFollowUsedRange="0"/>
  <tableColumns count="2">
    <tableColumn id="1" name="Pass" dataDxfId="5">
      <calculatedColumnFormula>COUNTIF(E2:E51,"Pass")</calculatedColumnFormula>
    </tableColumn>
    <tableColumn id="2" name="Fail" dataDxfId="6">
      <calculatedColumnFormula>COUNTIF(E2:E51,"Fail")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zoomScale="120" zoomScaleNormal="120" workbookViewId="0">
      <selection activeCell="K8" sqref="K8"/>
    </sheetView>
  </sheetViews>
  <sheetFormatPr defaultColWidth="14.4259259259259" defaultRowHeight="15" customHeight="1" outlineLevelCol="7"/>
  <cols>
    <col min="1" max="1" width="8.66666666666667" customWidth="1"/>
    <col min="2" max="5" width="8.71296296296296" customWidth="1"/>
    <col min="6" max="6" width="8.44444444444444" customWidth="1"/>
    <col min="7" max="11" width="8.71296296296296" customWidth="1"/>
  </cols>
  <sheetData>
    <row r="1" ht="14.4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ht="14.4" spans="1:8">
      <c r="A2" t="s">
        <v>7</v>
      </c>
      <c r="B2" t="s">
        <v>8</v>
      </c>
      <c r="C2">
        <v>51</v>
      </c>
      <c r="D2">
        <v>95</v>
      </c>
      <c r="E2" t="str">
        <f t="shared" ref="E2:E51" si="0">IF(C2&gt;=60,"Pass","Fail")</f>
        <v>Fail</v>
      </c>
      <c r="G2" s="6">
        <f>COUNTIF(E2:E51,"Pass")</f>
        <v>28</v>
      </c>
      <c r="H2">
        <f>COUNTIF(E2:E51,"Fail")</f>
        <v>22</v>
      </c>
    </row>
    <row r="3" spans="1:8">
      <c r="A3" t="s">
        <v>9</v>
      </c>
      <c r="B3" t="s">
        <v>10</v>
      </c>
      <c r="C3">
        <v>49</v>
      </c>
      <c r="D3">
        <v>86</v>
      </c>
      <c r="E3" t="str">
        <f t="shared" si="0"/>
        <v>Fail</v>
      </c>
    </row>
    <row r="4" ht="14.4" spans="1:8">
      <c r="A4" t="s">
        <v>11</v>
      </c>
      <c r="B4" t="s">
        <v>12</v>
      </c>
      <c r="C4">
        <v>93</v>
      </c>
      <c r="D4">
        <v>94</v>
      </c>
      <c r="E4" t="str">
        <f t="shared" si="0"/>
        <v>Pass</v>
      </c>
    </row>
    <row r="5" ht="14.4" spans="1:8">
      <c r="A5" t="s">
        <v>13</v>
      </c>
      <c r="B5" t="s">
        <v>14</v>
      </c>
      <c r="C5">
        <v>48</v>
      </c>
      <c r="D5">
        <v>61</v>
      </c>
      <c r="E5" t="str">
        <f t="shared" si="0"/>
        <v>Fail</v>
      </c>
    </row>
    <row r="6" ht="14.4" spans="1:8">
      <c r="A6" t="s">
        <v>13</v>
      </c>
      <c r="B6" t="s">
        <v>10</v>
      </c>
      <c r="C6">
        <v>63</v>
      </c>
      <c r="D6">
        <v>66</v>
      </c>
      <c r="E6" t="str">
        <f t="shared" si="0"/>
        <v>Pass</v>
      </c>
    </row>
    <row r="7" ht="14.4" spans="1:8">
      <c r="A7" t="s">
        <v>15</v>
      </c>
      <c r="B7" t="s">
        <v>12</v>
      </c>
      <c r="C7">
        <v>80</v>
      </c>
      <c r="D7">
        <v>94</v>
      </c>
      <c r="E7" t="str">
        <f t="shared" si="0"/>
        <v>Pass</v>
      </c>
    </row>
    <row r="8" ht="14.4" spans="1:8">
      <c r="A8" t="s">
        <v>16</v>
      </c>
      <c r="B8" t="s">
        <v>10</v>
      </c>
      <c r="C8">
        <v>55</v>
      </c>
      <c r="D8">
        <v>61</v>
      </c>
      <c r="E8" t="str">
        <f t="shared" si="0"/>
        <v>Fail</v>
      </c>
    </row>
    <row r="9" ht="14.4" spans="1:8">
      <c r="A9" t="s">
        <v>9</v>
      </c>
      <c r="B9" t="s">
        <v>10</v>
      </c>
      <c r="C9">
        <v>84</v>
      </c>
      <c r="D9">
        <v>76</v>
      </c>
      <c r="E9" t="str">
        <f t="shared" si="0"/>
        <v>Pass</v>
      </c>
    </row>
    <row r="10" ht="14.4" spans="1:8">
      <c r="A10" t="s">
        <v>17</v>
      </c>
      <c r="B10" t="s">
        <v>10</v>
      </c>
      <c r="C10">
        <v>47</v>
      </c>
      <c r="D10">
        <v>77</v>
      </c>
      <c r="E10" t="str">
        <f t="shared" si="0"/>
        <v>Fail</v>
      </c>
    </row>
    <row r="11" ht="14.4" spans="1:8">
      <c r="A11" t="s">
        <v>18</v>
      </c>
      <c r="B11" t="s">
        <v>12</v>
      </c>
      <c r="C11">
        <v>44</v>
      </c>
      <c r="D11">
        <v>82</v>
      </c>
      <c r="E11" t="str">
        <f t="shared" si="0"/>
        <v>Fail</v>
      </c>
    </row>
    <row r="12" ht="14.4" spans="1:8">
      <c r="A12" t="s">
        <v>19</v>
      </c>
      <c r="B12" t="s">
        <v>12</v>
      </c>
      <c r="C12">
        <v>45</v>
      </c>
      <c r="D12">
        <v>99</v>
      </c>
      <c r="E12" t="str">
        <f t="shared" si="0"/>
        <v>Fail</v>
      </c>
    </row>
    <row r="13" ht="14.4" spans="1:8">
      <c r="A13" t="s">
        <v>15</v>
      </c>
      <c r="B13" t="s">
        <v>10</v>
      </c>
      <c r="C13">
        <v>66</v>
      </c>
      <c r="D13">
        <v>98</v>
      </c>
      <c r="E13" t="str">
        <f t="shared" si="0"/>
        <v>Pass</v>
      </c>
    </row>
    <row r="14" ht="14.4" spans="1:8">
      <c r="A14" t="s">
        <v>13</v>
      </c>
      <c r="B14" t="s">
        <v>14</v>
      </c>
      <c r="C14">
        <v>68</v>
      </c>
      <c r="D14">
        <v>65</v>
      </c>
      <c r="E14" t="str">
        <f t="shared" si="0"/>
        <v>Pass</v>
      </c>
    </row>
    <row r="15" ht="14.4" spans="1:8">
      <c r="A15" t="s">
        <v>19</v>
      </c>
      <c r="B15" t="s">
        <v>12</v>
      </c>
      <c r="C15">
        <v>89</v>
      </c>
      <c r="D15">
        <v>74</v>
      </c>
      <c r="E15" t="str">
        <f t="shared" si="0"/>
        <v>Pass</v>
      </c>
    </row>
    <row r="16" ht="14.4" spans="1:8">
      <c r="A16" t="s">
        <v>20</v>
      </c>
      <c r="B16" t="s">
        <v>8</v>
      </c>
      <c r="C16">
        <v>45</v>
      </c>
      <c r="D16">
        <v>98</v>
      </c>
      <c r="E16" t="str">
        <f t="shared" si="0"/>
        <v>Fail</v>
      </c>
    </row>
    <row r="17" ht="14.4" spans="1:5">
      <c r="A17" t="s">
        <v>21</v>
      </c>
      <c r="B17" t="s">
        <v>8</v>
      </c>
      <c r="C17">
        <v>46</v>
      </c>
      <c r="D17">
        <v>86</v>
      </c>
      <c r="E17" t="str">
        <f t="shared" si="0"/>
        <v>Fail</v>
      </c>
    </row>
    <row r="18" ht="14.4" spans="1:5">
      <c r="A18" t="s">
        <v>22</v>
      </c>
      <c r="B18" t="s">
        <v>23</v>
      </c>
      <c r="C18">
        <v>91</v>
      </c>
      <c r="D18">
        <v>99</v>
      </c>
      <c r="E18" t="str">
        <f t="shared" si="0"/>
        <v>Pass</v>
      </c>
    </row>
    <row r="19" ht="14.4" spans="1:5">
      <c r="A19" t="s">
        <v>18</v>
      </c>
      <c r="B19" t="s">
        <v>12</v>
      </c>
      <c r="C19">
        <v>56</v>
      </c>
      <c r="D19">
        <v>64</v>
      </c>
      <c r="E19" t="str">
        <f t="shared" si="0"/>
        <v>Fail</v>
      </c>
    </row>
    <row r="20" ht="14.4" spans="1:5">
      <c r="A20" t="s">
        <v>19</v>
      </c>
      <c r="B20" t="s">
        <v>8</v>
      </c>
      <c r="C20">
        <v>77</v>
      </c>
      <c r="D20">
        <v>80</v>
      </c>
      <c r="E20" t="str">
        <f t="shared" si="0"/>
        <v>Pass</v>
      </c>
    </row>
    <row r="21" ht="15.75" customHeight="1" spans="1:5">
      <c r="A21" t="s">
        <v>24</v>
      </c>
      <c r="B21" t="s">
        <v>8</v>
      </c>
      <c r="C21">
        <v>49</v>
      </c>
      <c r="D21">
        <v>69</v>
      </c>
      <c r="E21" t="str">
        <f t="shared" si="0"/>
        <v>Fail</v>
      </c>
    </row>
    <row r="22" ht="15.75" customHeight="1" spans="1:5">
      <c r="A22" t="s">
        <v>25</v>
      </c>
      <c r="B22" t="s">
        <v>12</v>
      </c>
      <c r="C22">
        <v>68</v>
      </c>
      <c r="D22">
        <v>86</v>
      </c>
      <c r="E22" t="str">
        <f t="shared" si="0"/>
        <v>Pass</v>
      </c>
    </row>
    <row r="23" ht="15.75" customHeight="1" spans="1:5">
      <c r="A23" t="s">
        <v>11</v>
      </c>
      <c r="B23" t="s">
        <v>14</v>
      </c>
      <c r="C23">
        <v>61</v>
      </c>
      <c r="D23">
        <v>73</v>
      </c>
      <c r="E23" t="str">
        <f t="shared" si="0"/>
        <v>Pass</v>
      </c>
    </row>
    <row r="24" ht="15.75" customHeight="1" spans="1:5">
      <c r="A24" t="s">
        <v>16</v>
      </c>
      <c r="B24" t="s">
        <v>12</v>
      </c>
      <c r="C24">
        <v>47</v>
      </c>
      <c r="D24">
        <v>81</v>
      </c>
      <c r="E24" t="str">
        <f t="shared" si="0"/>
        <v>Fail</v>
      </c>
    </row>
    <row r="25" ht="15.75" customHeight="1" spans="1:5">
      <c r="A25" t="s">
        <v>20</v>
      </c>
      <c r="B25" t="s">
        <v>14</v>
      </c>
      <c r="C25">
        <v>61</v>
      </c>
      <c r="D25">
        <v>69</v>
      </c>
      <c r="E25" t="str">
        <f t="shared" si="0"/>
        <v>Pass</v>
      </c>
    </row>
    <row r="26" ht="15.75" customHeight="1" spans="1:5">
      <c r="A26" t="s">
        <v>7</v>
      </c>
      <c r="B26" t="s">
        <v>14</v>
      </c>
      <c r="C26">
        <v>45</v>
      </c>
      <c r="D26">
        <v>87</v>
      </c>
      <c r="E26" t="str">
        <f t="shared" si="0"/>
        <v>Fail</v>
      </c>
    </row>
    <row r="27" ht="15.75" customHeight="1" spans="1:5">
      <c r="A27" t="s">
        <v>22</v>
      </c>
      <c r="B27" t="s">
        <v>10</v>
      </c>
      <c r="C27">
        <v>53</v>
      </c>
      <c r="D27">
        <v>60</v>
      </c>
      <c r="E27" t="str">
        <f t="shared" si="0"/>
        <v>Fail</v>
      </c>
    </row>
    <row r="28" ht="15.75" customHeight="1" spans="1:5">
      <c r="A28" t="s">
        <v>26</v>
      </c>
      <c r="B28" t="s">
        <v>8</v>
      </c>
      <c r="C28">
        <v>75</v>
      </c>
      <c r="D28">
        <v>62</v>
      </c>
      <c r="E28" t="str">
        <f t="shared" si="0"/>
        <v>Pass</v>
      </c>
    </row>
    <row r="29" ht="15.75" customHeight="1" spans="1:5">
      <c r="A29" t="s">
        <v>15</v>
      </c>
      <c r="B29" t="s">
        <v>12</v>
      </c>
      <c r="C29">
        <v>100</v>
      </c>
      <c r="D29">
        <v>93</v>
      </c>
      <c r="E29" t="str">
        <f t="shared" si="0"/>
        <v>Pass</v>
      </c>
    </row>
    <row r="30" ht="15.75" customHeight="1" spans="1:5">
      <c r="A30" t="s">
        <v>19</v>
      </c>
      <c r="B30" t="s">
        <v>8</v>
      </c>
      <c r="C30">
        <v>88</v>
      </c>
      <c r="D30">
        <v>83</v>
      </c>
      <c r="E30" t="str">
        <f t="shared" si="0"/>
        <v>Pass</v>
      </c>
    </row>
    <row r="31" ht="15.75" customHeight="1" spans="1:5">
      <c r="A31" t="s">
        <v>9</v>
      </c>
      <c r="B31" t="s">
        <v>23</v>
      </c>
      <c r="C31">
        <v>58</v>
      </c>
      <c r="D31">
        <v>70</v>
      </c>
      <c r="E31" t="str">
        <f t="shared" si="0"/>
        <v>Fail</v>
      </c>
    </row>
    <row r="32" ht="15.75" customHeight="1" spans="1:5">
      <c r="A32" t="s">
        <v>21</v>
      </c>
      <c r="B32" t="s">
        <v>8</v>
      </c>
      <c r="C32">
        <v>44</v>
      </c>
      <c r="D32">
        <v>67</v>
      </c>
      <c r="E32" t="str">
        <f t="shared" si="0"/>
        <v>Fail</v>
      </c>
    </row>
    <row r="33" ht="15.75" customHeight="1" spans="1:5">
      <c r="A33" t="s">
        <v>16</v>
      </c>
      <c r="B33" t="s">
        <v>8</v>
      </c>
      <c r="C33">
        <v>100</v>
      </c>
      <c r="D33">
        <v>87</v>
      </c>
      <c r="E33" t="str">
        <f t="shared" si="0"/>
        <v>Pass</v>
      </c>
    </row>
    <row r="34" ht="15.75" customHeight="1" spans="1:5">
      <c r="A34" t="s">
        <v>24</v>
      </c>
      <c r="B34" t="s">
        <v>10</v>
      </c>
      <c r="C34">
        <v>70</v>
      </c>
      <c r="D34">
        <v>71</v>
      </c>
      <c r="E34" t="str">
        <f t="shared" si="0"/>
        <v>Pass</v>
      </c>
    </row>
    <row r="35" ht="15.75" customHeight="1" spans="1:5">
      <c r="A35" t="s">
        <v>22</v>
      </c>
      <c r="B35" t="s">
        <v>23</v>
      </c>
      <c r="C35">
        <v>97</v>
      </c>
      <c r="D35">
        <v>95</v>
      </c>
      <c r="E35" t="str">
        <f t="shared" si="0"/>
        <v>Pass</v>
      </c>
    </row>
    <row r="36" ht="15.75" customHeight="1" spans="1:5">
      <c r="A36" t="s">
        <v>7</v>
      </c>
      <c r="B36" t="s">
        <v>8</v>
      </c>
      <c r="C36">
        <v>55</v>
      </c>
      <c r="D36">
        <v>94</v>
      </c>
      <c r="E36" t="str">
        <f t="shared" si="0"/>
        <v>Fail</v>
      </c>
    </row>
    <row r="37" ht="15.75" customHeight="1" spans="1:5">
      <c r="A37" t="s">
        <v>27</v>
      </c>
      <c r="B37" t="s">
        <v>10</v>
      </c>
      <c r="C37">
        <v>83</v>
      </c>
      <c r="D37">
        <v>60</v>
      </c>
      <c r="E37" t="str">
        <f t="shared" si="0"/>
        <v>Pass</v>
      </c>
    </row>
    <row r="38" ht="15.75" customHeight="1" spans="1:5">
      <c r="A38" t="s">
        <v>25</v>
      </c>
      <c r="B38" t="s">
        <v>14</v>
      </c>
      <c r="C38">
        <v>56</v>
      </c>
      <c r="D38">
        <v>67</v>
      </c>
      <c r="E38" t="str">
        <f t="shared" si="0"/>
        <v>Fail</v>
      </c>
    </row>
    <row r="39" ht="15.75" customHeight="1" spans="1:5">
      <c r="A39" t="s">
        <v>24</v>
      </c>
      <c r="B39" t="s">
        <v>12</v>
      </c>
      <c r="C39">
        <v>71</v>
      </c>
      <c r="D39">
        <v>85</v>
      </c>
      <c r="E39" t="str">
        <f t="shared" si="0"/>
        <v>Pass</v>
      </c>
    </row>
    <row r="40" ht="15.75" customHeight="1" spans="1:5">
      <c r="A40" t="s">
        <v>17</v>
      </c>
      <c r="B40" t="s">
        <v>14</v>
      </c>
      <c r="C40">
        <v>79</v>
      </c>
      <c r="D40">
        <v>66</v>
      </c>
      <c r="E40" t="str">
        <f t="shared" si="0"/>
        <v>Pass</v>
      </c>
    </row>
    <row r="41" ht="15.75" customHeight="1" spans="1:5">
      <c r="A41" t="s">
        <v>20</v>
      </c>
      <c r="B41" t="s">
        <v>10</v>
      </c>
      <c r="C41">
        <v>44</v>
      </c>
      <c r="D41">
        <v>100</v>
      </c>
      <c r="E41" t="str">
        <f t="shared" si="0"/>
        <v>Fail</v>
      </c>
    </row>
    <row r="42" ht="15.75" customHeight="1" spans="1:5">
      <c r="A42" t="s">
        <v>22</v>
      </c>
      <c r="B42" t="s">
        <v>12</v>
      </c>
      <c r="C42">
        <v>71</v>
      </c>
      <c r="D42">
        <v>71</v>
      </c>
      <c r="E42" t="str">
        <f t="shared" si="0"/>
        <v>Pass</v>
      </c>
    </row>
    <row r="43" ht="15.75" customHeight="1" spans="1:5">
      <c r="A43" t="s">
        <v>19</v>
      </c>
      <c r="B43" t="s">
        <v>12</v>
      </c>
      <c r="C43">
        <v>54</v>
      </c>
      <c r="D43">
        <v>83</v>
      </c>
      <c r="E43" t="str">
        <f t="shared" si="0"/>
        <v>Fail</v>
      </c>
    </row>
    <row r="44" ht="15.75" customHeight="1" spans="1:5">
      <c r="A44" t="s">
        <v>28</v>
      </c>
      <c r="B44" t="s">
        <v>12</v>
      </c>
      <c r="C44">
        <v>67</v>
      </c>
      <c r="D44">
        <v>72</v>
      </c>
      <c r="E44" t="str">
        <f t="shared" si="0"/>
        <v>Pass</v>
      </c>
    </row>
    <row r="45" ht="15.75" customHeight="1" spans="1:5">
      <c r="A45" t="s">
        <v>15</v>
      </c>
      <c r="B45" t="s">
        <v>23</v>
      </c>
      <c r="C45">
        <v>40</v>
      </c>
      <c r="D45">
        <v>65</v>
      </c>
      <c r="E45" t="str">
        <f t="shared" si="0"/>
        <v>Fail</v>
      </c>
    </row>
    <row r="46" ht="15.75" customHeight="1" spans="1:5">
      <c r="A46" t="s">
        <v>18</v>
      </c>
      <c r="B46" t="s">
        <v>8</v>
      </c>
      <c r="C46">
        <v>66</v>
      </c>
      <c r="D46">
        <v>85</v>
      </c>
      <c r="E46" t="str">
        <f t="shared" si="0"/>
        <v>Pass</v>
      </c>
    </row>
    <row r="47" ht="15.75" customHeight="1" spans="1:5">
      <c r="A47" t="s">
        <v>18</v>
      </c>
      <c r="B47" t="s">
        <v>23</v>
      </c>
      <c r="C47">
        <v>93</v>
      </c>
      <c r="D47">
        <v>81</v>
      </c>
      <c r="E47" t="str">
        <f t="shared" si="0"/>
        <v>Pass</v>
      </c>
    </row>
    <row r="48" ht="15.75" customHeight="1" spans="1:5">
      <c r="A48" t="s">
        <v>18</v>
      </c>
      <c r="B48" t="s">
        <v>12</v>
      </c>
      <c r="C48">
        <v>61</v>
      </c>
      <c r="D48">
        <v>82</v>
      </c>
      <c r="E48" t="str">
        <f t="shared" si="0"/>
        <v>Pass</v>
      </c>
    </row>
    <row r="49" ht="15.75" customHeight="1" spans="1:5">
      <c r="A49" t="s">
        <v>7</v>
      </c>
      <c r="B49" t="s">
        <v>8</v>
      </c>
      <c r="C49">
        <v>81</v>
      </c>
      <c r="D49">
        <v>98</v>
      </c>
      <c r="E49" t="str">
        <f t="shared" si="0"/>
        <v>Pass</v>
      </c>
    </row>
    <row r="50" ht="15.75" customHeight="1" spans="1:5">
      <c r="A50" t="s">
        <v>20</v>
      </c>
      <c r="B50" t="s">
        <v>8</v>
      </c>
      <c r="C50">
        <v>84</v>
      </c>
      <c r="D50">
        <v>88</v>
      </c>
      <c r="E50" t="str">
        <f t="shared" si="0"/>
        <v>Pass</v>
      </c>
    </row>
    <row r="51" ht="15.75" customHeight="1" spans="1:5">
      <c r="A51" t="s">
        <v>25</v>
      </c>
      <c r="B51" t="s">
        <v>14</v>
      </c>
      <c r="C51">
        <v>53</v>
      </c>
      <c r="D51">
        <v>66</v>
      </c>
      <c r="E51" t="str">
        <f t="shared" si="0"/>
        <v>Fail</v>
      </c>
    </row>
    <row r="52" ht="15.75" customHeight="1" spans="1:5">
      <c r="A52" t="s">
        <v>29</v>
      </c>
      <c r="E52">
        <f>SUBTOTAL(103,Table1[Result])</f>
        <v>50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1" orientation="landscape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U101"/>
  <sheetViews>
    <sheetView tabSelected="1" zoomScale="66" zoomScaleNormal="66" workbookViewId="0">
      <selection activeCell="F40" sqref="F40"/>
    </sheetView>
  </sheetViews>
  <sheetFormatPr defaultColWidth="8.88888888888889" defaultRowHeight="14.4"/>
  <cols>
    <col min="1" max="1" width="25.5833333333333" customWidth="1"/>
    <col min="2" max="2" width="9.66666666666667"/>
  </cols>
  <sheetData>
    <row r="1" ht="28.8" spans="1:125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ht="21" spans="1:125">
      <c r="A2" s="3" t="s">
        <v>31</v>
      </c>
      <c r="B2" s="3">
        <f>COUNTA(Data!A2:A51)</f>
        <v>50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</row>
    <row r="3" ht="21" spans="1:125">
      <c r="A3" s="3" t="s">
        <v>32</v>
      </c>
      <c r="B3" s="3">
        <f>AVERAGE(Data!C2:C51)</f>
        <v>65.42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</row>
    <row r="4" ht="21" spans="1:125">
      <c r="A4" s="3" t="s">
        <v>33</v>
      </c>
      <c r="B4" s="3">
        <f>AVERAGE(Data!D2:D51)</f>
        <v>79.42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</row>
    <row r="5" spans="1:1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</row>
    <row r="6" spans="1:1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</row>
    <row r="7" spans="1:1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</row>
    <row r="8" spans="1:1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</row>
    <row r="9" spans="1:1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</row>
    <row r="10" spans="1:1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</row>
    <row r="11" spans="1:1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</row>
    <row r="12" spans="1:1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</row>
    <row r="13" spans="1:1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</row>
    <row r="14" spans="1:1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</row>
    <row r="15" spans="1:1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</row>
    <row r="16" spans="1:1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</row>
    <row r="17" spans="1:1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</row>
    <row r="18" spans="1:12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</row>
    <row r="19" spans="1:1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</row>
    <row r="20" spans="1:1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</row>
    <row r="21" spans="1:1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</row>
    <row r="22" spans="1:1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</row>
    <row r="23" spans="1:1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</row>
    <row r="24" spans="1:1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</row>
    <row r="25" spans="1:1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</row>
    <row r="26" spans="1:1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</row>
    <row r="27" spans="1:1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</row>
    <row r="28" spans="1:1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</row>
    <row r="29" spans="1:1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</row>
    <row r="30" spans="1:1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</row>
    <row r="31" spans="1:1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</row>
    <row r="32" spans="1:1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</row>
    <row r="33" spans="1:1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</row>
    <row r="34" spans="1:12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</row>
    <row r="35" spans="1:1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</row>
    <row r="36" spans="1:12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</row>
    <row r="37" spans="1:1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</row>
    <row r="38" spans="1:12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</row>
    <row r="39" spans="1:12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</row>
    <row r="40" spans="1:12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</row>
    <row r="41" spans="1:12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</row>
    <row r="42" spans="1:12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</row>
    <row r="43" spans="1:12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</row>
    <row r="44" spans="1:12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</row>
    <row r="45" spans="1:12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</row>
    <row r="46" spans="1:12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</row>
    <row r="47" spans="1:12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</row>
    <row r="48" spans="1:12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</row>
    <row r="49" spans="1:12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</row>
    <row r="50" spans="1:12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</row>
    <row r="51" spans="1:12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</row>
    <row r="52" spans="1:12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</row>
    <row r="53" spans="1:12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</row>
    <row r="54" spans="1:12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</row>
    <row r="55" spans="1:12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</row>
    <row r="56" spans="1:12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</row>
    <row r="57" spans="1:12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</row>
    <row r="58" spans="1:12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</row>
    <row r="59" spans="1:12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</row>
    <row r="60" spans="1:12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</row>
    <row r="61" spans="1:12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</row>
    <row r="62" spans="1:12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</row>
    <row r="63" spans="1:12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</row>
    <row r="64" spans="1:12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</row>
    <row r="65" spans="1:12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</row>
    <row r="66" spans="1:12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</row>
    <row r="67" spans="1:12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</row>
    <row r="68" spans="1:12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</row>
    <row r="69" spans="1:12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</row>
    <row r="70" spans="1:12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</row>
    <row r="71" spans="1:12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</row>
    <row r="72" spans="1:12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</row>
    <row r="73" spans="1:12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</row>
    <row r="74" spans="1:12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</row>
    <row r="75" spans="1:12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</row>
    <row r="76" spans="1:12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</row>
    <row r="77" spans="1:12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</row>
    <row r="78" spans="1:12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</row>
    <row r="79" spans="1:12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</row>
    <row r="80" spans="1:12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</row>
    <row r="81" spans="1: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</row>
    <row r="82" spans="1: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</row>
    <row r="83" spans="1: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</row>
    <row r="84" spans="1: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</row>
    <row r="85" spans="1: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</row>
    <row r="86" spans="1: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</row>
    <row r="87" spans="1: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</row>
    <row r="88" spans="1: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</row>
    <row r="89" spans="1: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</row>
    <row r="90" spans="1: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</row>
    <row r="91" spans="1: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</row>
    <row r="92" spans="1: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</row>
    <row r="93" spans="1: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</row>
    <row r="94" spans="1: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</row>
    <row r="95" spans="1: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</row>
    <row r="96" spans="1: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</row>
    <row r="97" spans="1: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</row>
    <row r="98" spans="1: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</row>
    <row r="99" spans="1: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</row>
    <row r="100" spans="1: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</row>
    <row r="101" spans="1: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91879</cp:lastModifiedBy>
  <dcterms:created xsi:type="dcterms:W3CDTF">2026-05-02T04:23:00Z</dcterms:created>
  <dcterms:modified xsi:type="dcterms:W3CDTF">2026-05-02T16:29:10Z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80E44B2AA4EA4658B9B89152C2C0C6DB_13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